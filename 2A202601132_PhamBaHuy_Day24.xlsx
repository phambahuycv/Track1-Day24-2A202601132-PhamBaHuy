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AI_in_Action\Track1-Day24-2A202601132-PhamBaHuy\"/>
    </mc:Choice>
  </mc:AlternateContent>
  <xr:revisionPtr revIDLastSave="0" documentId="13_ncr:1_{1A250D56-D92B-446C-8608-58F0FD58580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1. Assumptions" sheetId="1" r:id="rId1"/>
    <sheet name="2. Unit Economics" sheetId="2" r:id="rId2"/>
    <sheet name="3. P&amp;L &amp; 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39" i="3"/>
  <c r="D38" i="3"/>
  <c r="D37" i="3"/>
  <c r="C17" i="3"/>
  <c r="C16" i="3"/>
  <c r="C15" i="3"/>
  <c r="C14" i="3"/>
  <c r="V29" i="3" s="1"/>
  <c r="C13" i="3"/>
  <c r="C12" i="3"/>
  <c r="C11" i="3"/>
  <c r="C10" i="3"/>
  <c r="C9" i="3"/>
  <c r="C8" i="3"/>
  <c r="C6" i="3"/>
  <c r="D22" i="2"/>
  <c r="E18" i="2"/>
  <c r="E21" i="2" s="1"/>
  <c r="D18" i="2"/>
  <c r="C18" i="2"/>
  <c r="E15" i="2"/>
  <c r="E14" i="2"/>
  <c r="E11" i="2"/>
  <c r="D11" i="2"/>
  <c r="E10" i="2"/>
  <c r="D10" i="2"/>
  <c r="E9" i="2"/>
  <c r="D9" i="2"/>
  <c r="C9" i="2"/>
  <c r="E8" i="2"/>
  <c r="D8" i="2"/>
  <c r="C8" i="2"/>
  <c r="C10" i="2" s="1"/>
  <c r="E36" i="1"/>
  <c r="D36" i="1"/>
  <c r="C36" i="1"/>
  <c r="E28" i="1"/>
  <c r="D28" i="1"/>
  <c r="C28" i="1"/>
  <c r="E19" i="1"/>
  <c r="D19" i="1"/>
  <c r="D14" i="2" s="1"/>
  <c r="D15" i="2" s="1"/>
  <c r="D21" i="2" s="1"/>
  <c r="D25" i="2" s="1"/>
  <c r="C19" i="1"/>
  <c r="C14" i="2" s="1"/>
  <c r="E15" i="1"/>
  <c r="D15" i="1"/>
  <c r="C15" i="1"/>
  <c r="G29" i="3" l="1"/>
  <c r="O29" i="3"/>
  <c r="W29" i="3"/>
  <c r="H29" i="3"/>
  <c r="P29" i="3"/>
  <c r="X29" i="3"/>
  <c r="I29" i="3"/>
  <c r="Q29" i="3"/>
  <c r="Y29" i="3"/>
  <c r="D29" i="3"/>
  <c r="L29" i="3"/>
  <c r="T29" i="3"/>
  <c r="J29" i="3"/>
  <c r="R29" i="3"/>
  <c r="Z29" i="3"/>
  <c r="C29" i="3"/>
  <c r="AA29" i="3" s="1"/>
  <c r="K29" i="3"/>
  <c r="S29" i="3"/>
  <c r="E29" i="3"/>
  <c r="M29" i="3"/>
  <c r="U29" i="3"/>
  <c r="F29" i="3"/>
  <c r="N29" i="3"/>
  <c r="E22" i="2"/>
  <c r="E25" i="2" s="1"/>
  <c r="X22" i="3"/>
  <c r="X28" i="3" s="1"/>
  <c r="O22" i="3"/>
  <c r="O28" i="3" s="1"/>
  <c r="G22" i="3"/>
  <c r="G28" i="3" s="1"/>
  <c r="W22" i="3"/>
  <c r="W28" i="3" s="1"/>
  <c r="I22" i="3"/>
  <c r="I28" i="3" s="1"/>
  <c r="Q22" i="3"/>
  <c r="Q28" i="3" s="1"/>
  <c r="Y22" i="3"/>
  <c r="Y28" i="3" s="1"/>
  <c r="J22" i="3"/>
  <c r="J28" i="3" s="1"/>
  <c r="Z22" i="3"/>
  <c r="Z28" i="3" s="1"/>
  <c r="K22" i="3"/>
  <c r="K28" i="3" s="1"/>
  <c r="S22" i="3"/>
  <c r="S28" i="3" s="1"/>
  <c r="D22" i="3"/>
  <c r="D28" i="3" s="1"/>
  <c r="L22" i="3"/>
  <c r="L28" i="3" s="1"/>
  <c r="T22" i="3"/>
  <c r="T28" i="3" s="1"/>
  <c r="R22" i="3"/>
  <c r="R28" i="3" s="1"/>
  <c r="C22" i="3"/>
  <c r="E22" i="3"/>
  <c r="E28" i="3" s="1"/>
  <c r="M22" i="3"/>
  <c r="M28" i="3" s="1"/>
  <c r="U22" i="3"/>
  <c r="U28" i="3" s="1"/>
  <c r="F22" i="3"/>
  <c r="F28" i="3" s="1"/>
  <c r="N22" i="3"/>
  <c r="N28" i="3" s="1"/>
  <c r="V22" i="3"/>
  <c r="V28" i="3" s="1"/>
  <c r="H22" i="3"/>
  <c r="H28" i="3" s="1"/>
  <c r="P22" i="3"/>
  <c r="P28" i="3" s="1"/>
  <c r="C15" i="2"/>
  <c r="C21" i="2" s="1"/>
  <c r="C25" i="2" s="1"/>
  <c r="C22" i="2"/>
  <c r="C11" i="2"/>
  <c r="C28" i="3" l="1"/>
  <c r="AA28" i="3" s="1"/>
  <c r="C23" i="3"/>
  <c r="AA22" i="3"/>
  <c r="D23" i="3" l="1"/>
  <c r="C26" i="3"/>
  <c r="C25" i="3"/>
  <c r="C27" i="3" l="1"/>
  <c r="E23" i="3"/>
  <c r="D26" i="3"/>
  <c r="D25" i="3"/>
  <c r="E26" i="3" l="1"/>
  <c r="F23" i="3"/>
  <c r="E25" i="3"/>
  <c r="C30" i="3"/>
  <c r="D27" i="3"/>
  <c r="D30" i="3" s="1"/>
  <c r="D32" i="3" s="1"/>
  <c r="C32" i="3" l="1"/>
  <c r="E27" i="3"/>
  <c r="E30" i="3" s="1"/>
  <c r="E32" i="3" s="1"/>
  <c r="G23" i="3"/>
  <c r="F26" i="3"/>
  <c r="F25" i="3"/>
  <c r="F27" i="3" l="1"/>
  <c r="F30" i="3" s="1"/>
  <c r="F32" i="3" s="1"/>
  <c r="G26" i="3"/>
  <c r="H23" i="3"/>
  <c r="G25" i="3"/>
  <c r="C33" i="3"/>
  <c r="C41" i="3"/>
  <c r="G27" i="3" l="1"/>
  <c r="I23" i="3"/>
  <c r="H26" i="3"/>
  <c r="H25" i="3"/>
  <c r="D33" i="3"/>
  <c r="E33" i="3" s="1"/>
  <c r="F33" i="3" s="1"/>
  <c r="D41" i="3"/>
  <c r="E41" i="3" s="1"/>
  <c r="F41" i="3" s="1"/>
  <c r="H27" i="3" l="1"/>
  <c r="H30" i="3" s="1"/>
  <c r="H32" i="3" s="1"/>
  <c r="I26" i="3"/>
  <c r="J23" i="3"/>
  <c r="I25" i="3"/>
  <c r="G30" i="3"/>
  <c r="I27" i="3" l="1"/>
  <c r="I30" i="3" s="1"/>
  <c r="I32" i="3" s="1"/>
  <c r="K23" i="3"/>
  <c r="J26" i="3"/>
  <c r="J25" i="3"/>
  <c r="J27" i="3" s="1"/>
  <c r="J30" i="3" s="1"/>
  <c r="J32" i="3" s="1"/>
  <c r="G32" i="3"/>
  <c r="G41" i="3" l="1"/>
  <c r="G33" i="3"/>
  <c r="L23" i="3"/>
  <c r="K26" i="3"/>
  <c r="K25" i="3"/>
  <c r="H33" i="3" l="1"/>
  <c r="I33" i="3" s="1"/>
  <c r="J33" i="3" s="1"/>
  <c r="H41" i="3"/>
  <c r="I41" i="3" s="1"/>
  <c r="J41" i="3" s="1"/>
  <c r="K27" i="3"/>
  <c r="K30" i="3" s="1"/>
  <c r="M23" i="3"/>
  <c r="L26" i="3"/>
  <c r="L25" i="3"/>
  <c r="L27" i="3" l="1"/>
  <c r="L30" i="3" s="1"/>
  <c r="L32" i="3" s="1"/>
  <c r="K32" i="3"/>
  <c r="K41" i="3" s="1"/>
  <c r="N23" i="3"/>
  <c r="M26" i="3"/>
  <c r="M25" i="3"/>
  <c r="K33" i="3" l="1"/>
  <c r="L33" i="3" s="1"/>
  <c r="M27" i="3"/>
  <c r="M30" i="3" s="1"/>
  <c r="M32" i="3" s="1"/>
  <c r="L41" i="3"/>
  <c r="O23" i="3"/>
  <c r="N26" i="3"/>
  <c r="N25" i="3"/>
  <c r="M33" i="3" l="1"/>
  <c r="N27" i="3"/>
  <c r="N30" i="3" s="1"/>
  <c r="N32" i="3" s="1"/>
  <c r="O26" i="3"/>
  <c r="P23" i="3"/>
  <c r="O25" i="3"/>
  <c r="M41" i="3"/>
  <c r="N33" i="3" l="1"/>
  <c r="N41" i="3"/>
  <c r="Q23" i="3"/>
  <c r="P26" i="3"/>
  <c r="P25" i="3"/>
  <c r="O27" i="3"/>
  <c r="O30" i="3" s="1"/>
  <c r="O32" i="3" s="1"/>
  <c r="O41" i="3" l="1"/>
  <c r="R23" i="3"/>
  <c r="Q26" i="3"/>
  <c r="Q25" i="3"/>
  <c r="O33" i="3"/>
  <c r="P27" i="3"/>
  <c r="P30" i="3" s="1"/>
  <c r="P32" i="3" s="1"/>
  <c r="P41" i="3" l="1"/>
  <c r="S23" i="3"/>
  <c r="R26" i="3"/>
  <c r="R25" i="3"/>
  <c r="P33" i="3"/>
  <c r="Q27" i="3"/>
  <c r="Q30" i="3" s="1"/>
  <c r="Q32" i="3" s="1"/>
  <c r="Q41" i="3" l="1"/>
  <c r="R27" i="3"/>
  <c r="R30" i="3" s="1"/>
  <c r="R32" i="3" s="1"/>
  <c r="Q33" i="3"/>
  <c r="T23" i="3"/>
  <c r="S26" i="3"/>
  <c r="S25" i="3"/>
  <c r="S27" i="3" s="1"/>
  <c r="S30" i="3" s="1"/>
  <c r="S32" i="3" s="1"/>
  <c r="R41" i="3" l="1"/>
  <c r="S41" i="3" s="1"/>
  <c r="R33" i="3"/>
  <c r="S33" i="3" s="1"/>
  <c r="U23" i="3"/>
  <c r="T26" i="3"/>
  <c r="T25" i="3"/>
  <c r="T27" i="3" l="1"/>
  <c r="T30" i="3" s="1"/>
  <c r="T32" i="3" s="1"/>
  <c r="T41" i="3" s="1"/>
  <c r="V23" i="3"/>
  <c r="U26" i="3"/>
  <c r="U25" i="3"/>
  <c r="U27" i="3" s="1"/>
  <c r="U30" i="3" s="1"/>
  <c r="U32" i="3" s="1"/>
  <c r="U41" i="3" l="1"/>
  <c r="T33" i="3"/>
  <c r="U33" i="3" s="1"/>
  <c r="W23" i="3"/>
  <c r="V26" i="3"/>
  <c r="V25" i="3"/>
  <c r="V27" i="3" s="1"/>
  <c r="V30" i="3" s="1"/>
  <c r="V32" i="3" s="1"/>
  <c r="V41" i="3" l="1"/>
  <c r="V33" i="3"/>
  <c r="W26" i="3"/>
  <c r="X23" i="3"/>
  <c r="W25" i="3"/>
  <c r="W27" i="3" l="1"/>
  <c r="W30" i="3" s="1"/>
  <c r="W32" i="3" s="1"/>
  <c r="W41" i="3" s="1"/>
  <c r="Y23" i="3"/>
  <c r="X26" i="3"/>
  <c r="X25" i="3"/>
  <c r="X27" i="3" l="1"/>
  <c r="X30" i="3" s="1"/>
  <c r="X32" i="3" s="1"/>
  <c r="X41" i="3" s="1"/>
  <c r="W33" i="3"/>
  <c r="Y26" i="3"/>
  <c r="Z23" i="3"/>
  <c r="Y25" i="3"/>
  <c r="Y27" i="3" s="1"/>
  <c r="Y30" i="3" s="1"/>
  <c r="Y32" i="3" s="1"/>
  <c r="X33" i="3" l="1"/>
  <c r="Y33" i="3" s="1"/>
  <c r="Y41" i="3"/>
  <c r="Z26" i="3"/>
  <c r="AA26" i="3" s="1"/>
  <c r="Z25" i="3"/>
  <c r="Z27" i="3" l="1"/>
  <c r="AA25" i="3"/>
  <c r="Z30" i="3" l="1"/>
  <c r="AA27" i="3"/>
  <c r="Z32" i="3" l="1"/>
  <c r="AA30" i="3"/>
  <c r="C38" i="3" l="1"/>
  <c r="C37" i="3"/>
  <c r="AA32" i="3"/>
  <c r="Z41" i="3"/>
  <c r="C39" i="3" s="1"/>
  <c r="Z33" i="3"/>
  <c r="C40" i="3" s="1"/>
  <c r="C44" i="3" l="1"/>
</calcChain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<sst xmlns="http://schemas.openxmlformats.org/spreadsheetml/2006/main" count="153" uniqueCount="137">
  <si>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</si>
  <si>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</si>
  <si>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</si>
  <si>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</si>
  <si>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</si>
  <si>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</si>
  <si>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</si>
  <si>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</si>
  <si>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</si>
  <si>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</si>
  <si>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</si>
  <si>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</si>
  <si>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</si>
  <si>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</si>
  <si>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</si>
  <si>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</si>
  <si>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</si>
  <si>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</si>
  <si>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</si>
  <si>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</si>
  <si>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</si>
  <si>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</si>
  <si>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</si>
  <si>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</si>
  <si>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</si>
  <si>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</si>
  <si>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</si>
  <si>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</si>
  <si>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</si>
  <si>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</si>
  <si>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</si>
  <si>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</si>
  <si>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</si>
  <si>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</si>
  <si>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</si>
  <si>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</si>
  <si>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</si>
  <si>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</si>
  <si>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</si>
  <si>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</si>
  <si>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</si>
  <si>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</si>
  <si>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</si>
  <si>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</si>
  <si>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</si>
  <si>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</si>
  <si>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</si>
  <si>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</si>
  <si>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</si>
  <si>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</si>
  <si>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</si>
  <si>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</si>
  <si>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</si>
  <si>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</si>
  <si>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</si>
  <si>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</si>
  <si>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</si>
  <si>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</si>
  <si>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</si>
  <si>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</si>
  <si>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</si>
  <si>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</si>
  <si>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</si>
  <si>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</si>
  <si>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</si>
  <si>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</si>
  <si>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</si>
  <si>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</si>
  <si>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</si>
  <si>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</si>
  <si>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</si>
  <si>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</si>
  <si>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</si>
  <si>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</si>
  <si>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</si>
  <si>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</si>
  <si>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</si>
  <si>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</si>
  <si>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</si>
  <si>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</si>
  <si>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</si>
  <si>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</si>
  <si>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</si>
  <si>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</si>
  <si>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</si>
  <si>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</si>
  <si>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</si>
  <si>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</si>
  <si>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</si>
  <si>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</si>
  <si>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</si>
  <si>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</si>
  <si>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</si>
  <si>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</si>
  <si>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</si>
  <si>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</si>
  <si>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</si>
  <si>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</si>
  <si>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</si>
  <si>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</si>
  <si>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</si>
  <si>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</si>
  <si>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</si>
  <si>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</si>
  <si>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</si>
  <si>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</si>
  <si>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</si>
  <si>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</si>
  <si>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</si>
  <si>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</si>
  <si>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</si>
  <si>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</si>
  <si>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</si>
  <si>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</si>
  <si>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</si>
  <si>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</si>
  <si>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</si>
  <si>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</si>
  <si>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</si>
  <si>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</si>
  <si>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</si>
  <si>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</si>
  <si>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</si>
  <si>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</si>
  <si>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</si>
  <si>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</si>
  <si>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</si>
  <si>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</si>
  <si>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</si>
  <si>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</si>
  <si>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</si>
  <si>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</si>
  <si>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</si>
  <si>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</si>
  <si>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</si>
  <si>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</si>
  <si>
    <t>Mức ARPU 159.000 VND/tháng được định vị dựa trên mô hình Hybrid Pricing (gói nền 149k + phí overage 2k/lượt) — chỉ bằng 1/5 chi phí thuê hướng dẫn viên du lịch truyền thống nhưng mang lại trải nghiệm AI cá nhân hóa 24/7, giúp đảm bảo Gross Margin vững chắc ở mức 66.2%.
Mức CAC 320.000 VND được tối ưu hóa nhờ chiến lược Product-Led Growth (trải nghiệm thử 1 lịch trình miễn phí) và hợp tác liên kết cùng các homestay/OTA, tạo ra tỷ lệ LTV/CAC ấn tượng đạt 4.11x (vượt tiêu chuẩn vàng 3.0x của VC) với thời gian thu hồi vốn CAC Payback cực nhanh chỉ 3.04 tháng (&lt; 12 tháng).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</si>
</sst>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8" formatCode="#,##0;\(#,##0\);\-"/>
    <numFmt numFmtId="169" formatCode="0.0%;\(0.0%\);\-"/>
    <numFmt numFmtId="170" formatCode="0.0&quot; tháng&quot;"/>
    <numFmt numFmtId="171" formatCode="0.00\x"/>
    <numFmt numFmtId="172" formatCode="0.00%;\(0.00%\);\-"/>
  </numFmts>
  <fonts count="20" x14ac:knownFonts="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168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indent="1"/>
    </xf>
    <xf numFmtId="168" fontId="11" fillId="0" borderId="0" xfId="0" applyNumberFormat="1" applyFont="1" applyAlignment="1">
      <alignment horizontal="right"/>
    </xf>
    <xf numFmtId="0" fontId="12" fillId="6" borderId="0" xfId="0" applyFont="1" applyFill="1" applyAlignment="1">
      <alignment horizontal="left" vertical="center"/>
    </xf>
    <xf numFmtId="168" fontId="9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168" fontId="9" fillId="0" borderId="0" xfId="0" applyNumberFormat="1" applyFont="1" applyAlignment="1">
      <alignment horizontal="right"/>
    </xf>
    <xf numFmtId="0" fontId="12" fillId="5" borderId="0" xfId="0" applyFont="1" applyFill="1" applyAlignment="1">
      <alignment horizontal="left" vertical="center"/>
    </xf>
    <xf numFmtId="168" fontId="9" fillId="5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 vertical="center"/>
    </xf>
    <xf numFmtId="168" fontId="9" fillId="7" borderId="0" xfId="0" applyNumberFormat="1" applyFont="1" applyFill="1" applyAlignment="1">
      <alignment horizontal="right"/>
    </xf>
    <xf numFmtId="168" fontId="13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168" fontId="15" fillId="0" borderId="0" xfId="0" applyNumberFormat="1" applyFont="1" applyAlignment="1">
      <alignment horizontal="right"/>
    </xf>
    <xf numFmtId="0" fontId="8" fillId="5" borderId="0" xfId="0" applyFont="1" applyFill="1" applyAlignment="1">
      <alignment horizontal="center"/>
    </xf>
    <xf numFmtId="168" fontId="8" fillId="0" borderId="0" xfId="0" applyNumberFormat="1" applyFont="1"/>
    <xf numFmtId="168" fontId="8" fillId="6" borderId="0" xfId="0" applyNumberFormat="1" applyFont="1" applyFill="1"/>
    <xf numFmtId="168" fontId="8" fillId="5" borderId="0" xfId="0" applyNumberFormat="1" applyFont="1" applyFill="1"/>
    <xf numFmtId="0" fontId="12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68" fontId="17" fillId="0" borderId="0" xfId="0" applyNumberFormat="1" applyFont="1" applyAlignment="1">
      <alignment horizontal="right" vertical="center"/>
    </xf>
    <xf numFmtId="168" fontId="12" fillId="5" borderId="0" xfId="0" applyNumberFormat="1" applyFont="1" applyFill="1" applyAlignment="1">
      <alignment horizontal="right" vertical="center"/>
    </xf>
    <xf numFmtId="169" fontId="12" fillId="5" borderId="0" xfId="0" applyNumberFormat="1" applyFont="1" applyFill="1" applyAlignment="1">
      <alignment horizontal="right" vertical="center"/>
    </xf>
    <xf numFmtId="170" fontId="17" fillId="0" borderId="0" xfId="0" applyNumberFormat="1" applyFont="1" applyAlignment="1">
      <alignment horizontal="right" vertical="center"/>
    </xf>
    <xf numFmtId="171" fontId="12" fillId="5" borderId="0" xfId="0" applyNumberFormat="1" applyFont="1" applyFill="1" applyAlignment="1">
      <alignment horizontal="right" vertical="center"/>
    </xf>
    <xf numFmtId="170" fontId="12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5" borderId="0" xfId="0" applyFill="1"/>
    <xf numFmtId="168" fontId="18" fillId="3" borderId="1" xfId="0" applyNumberFormat="1" applyFont="1" applyFill="1" applyBorder="1" applyAlignment="1">
      <alignment horizontal="right" vertical="center"/>
    </xf>
    <xf numFmtId="172" fontId="18" fillId="3" borderId="1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168" fontId="12" fillId="5" borderId="2" xfId="0" applyNumberFormat="1" applyFont="1" applyFill="1" applyBorder="1" applyAlignment="1">
      <alignment horizontal="right" vertical="center"/>
    </xf>
    <xf numFmtId="169" fontId="18" fillId="3" borderId="1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indent="1"/>
    </xf>
    <xf numFmtId="0" fontId="19" fillId="3" borderId="3" xfId="0" applyFont="1" applyFill="1" applyBorder="1" applyAlignment="1">
      <alignment horizontal="left" vertical="top" wrapText="1" indent="1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29">
    <dxf>
      <font>
        <b/>
        <sz val="9"/>
        <color rgb="FFDC2626"/>
        <name val="Arial"/>
        <charset val="1"/>
        <scheme val="none"/>
      </font>
      <fill>
        <patternFill patternType="solid">
          <bgColor rgb="FFFEE2E2"/>
        </patternFill>
      </fill>
    </dxf>
    <dxf>
      <font>
        <b/>
        <sz val="11"/>
        <color rgb="FFDC2626"/>
        <name val="Arial"/>
        <charset val="1"/>
        <scheme val="none"/>
      </font>
      <fill>
        <patternFill patternType="solid">
          <bgColor rgb="FFFEE2E2"/>
        </patternFill>
      </fill>
    </dxf>
    <dxf>
      <font>
        <b/>
        <sz val="11"/>
        <color rgb="FFDC2626"/>
        <name val="Arial"/>
        <charset val="1"/>
        <scheme val="none"/>
      </font>
      <fill>
        <patternFill patternType="solid">
          <bgColor rgb="FFFEE2E2"/>
        </patternFill>
      </fill>
    </dxf>
    <dxf>
      <font>
        <b/>
        <sz val="11"/>
        <color rgb="FF16A34A"/>
        <name val="Arial"/>
        <charset val="1"/>
        <scheme val="none"/>
      </font>
      <fill>
        <patternFill patternType="solid">
          <bgColor rgb="FFDCFCE7"/>
        </patternFill>
      </fill>
    </dxf>
    <dxf>
      <font>
        <b/>
        <sz val="11"/>
        <color rgb="FFDC2626"/>
        <name val="Arial"/>
        <charset val="1"/>
        <scheme val="none"/>
      </font>
      <fill>
        <patternFill patternType="solid">
          <bgColor rgb="FFFEE2E2"/>
        </patternFill>
      </fill>
    </dxf>
    <dxf>
      <font>
        <b/>
        <sz val="11"/>
        <color rgb="FF16A34A"/>
        <name val="Arial"/>
        <charset val="1"/>
        <scheme val="none"/>
      </font>
      <fill>
        <patternFill patternType="solid">
          <bgColor rgb="FFDCFCE7"/>
        </patternFill>
      </fill>
    </dxf>
    <dxf>
      <font>
        <b/>
        <sz val="10"/>
        <color rgb="FF16A34A"/>
        <name val="Arial"/>
        <charset val="1"/>
        <scheme val="none"/>
      </font>
      <fill>
        <patternFill patternType="solid">
          <bgColor rgb="FFDCFCE7"/>
        </patternFill>
      </fill>
    </dxf>
    <dxf>
      <font>
        <b/>
        <sz val="10"/>
        <color rgb="FFD97706"/>
        <name val="Arial"/>
        <charset val="1"/>
        <scheme val="none"/>
      </font>
      <fill>
        <patternFill patternType="solid">
          <bgColor rgb="FFFEF3C7"/>
        </patternFill>
      </fill>
    </dxf>
    <dxf>
      <font>
        <b/>
        <sz val="10"/>
        <color rgb="FFDC2626"/>
        <name val="Arial"/>
        <charset val="1"/>
        <scheme val="none"/>
      </font>
      <fill>
        <patternFill patternType="solid">
          <bgColor rgb="FFFEE2E2"/>
        </patternFill>
      </fill>
    </dxf>
    <dxf>
      <font>
        <b/>
        <sz val="10"/>
        <color rgb="FF16A34A"/>
        <name val="Arial"/>
        <charset val="1"/>
        <scheme val="none"/>
      </font>
      <fill>
        <patternFill patternType="solid">
          <bgColor rgb="FFDCFCE7"/>
        </patternFill>
      </fill>
    </dxf>
    <dxf>
      <font>
        <b/>
        <sz val="10"/>
        <color rgb="FFD97706"/>
        <name val="Arial"/>
        <charset val="1"/>
        <scheme val="none"/>
      </font>
      <fill>
        <patternFill patternType="solid">
          <bgColor rgb="FFFEF3C7"/>
        </patternFill>
      </fill>
    </dxf>
    <dxf>
      <font>
        <b/>
        <sz val="10"/>
        <color rgb="FFDC2626"/>
        <name val="Arial"/>
        <charset val="1"/>
        <scheme val="none"/>
      </font>
      <fill>
        <patternFill patternType="solid">
          <bgColor rgb="FFFEE2E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tabSelected="1" zoomScaleNormal="100" workbookViewId="0">
      <pane ySplit="5" topLeftCell="A39" activePane="bottomLeft" state="frozen"/>
      <selection pane="bottomLeft" activeCell="B39" sqref="B39:F41"/>
    </sheetView>
  </sheetViews>
  <sheetFormatPr defaultColWidth="8.6328125" defaultRowHeight="14.5" x14ac:dyDescent="0.3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35">
      <c r="B2" s="49" t="s">
        <v>0</v>
      </c>
      <c r="C2" s="49"/>
      <c r="D2" s="49"/>
      <c r="E2" s="49"/>
      <c r="F2" s="49"/>
    </row>
    <row r="3" spans="2:7" ht="19.5" customHeight="1" x14ac:dyDescent="0.35">
      <c r="B3" s="50" t="s">
        <v>1</v>
      </c>
      <c r="C3" s="50"/>
      <c r="D3" s="50"/>
      <c r="E3" s="50"/>
      <c r="F3" s="50"/>
      <c r="G3" s="50"/>
    </row>
    <row r="5" spans="2:7" x14ac:dyDescent="0.35">
      <c r="B5" s="51" t="s">
        <v>2</v>
      </c>
      <c r="C5" s="51"/>
      <c r="D5" s="51"/>
      <c r="E5" s="51"/>
      <c r="F5" s="51"/>
    </row>
    <row r="6" spans="2:7" x14ac:dyDescent="0.35">
      <c r="C6" s="30" t="s">
        <v>3</v>
      </c>
      <c r="D6" s="31" t="s">
        <v>4</v>
      </c>
      <c r="E6" s="39" t="s">
        <v>5</v>
      </c>
      <c r="F6" s="40" t="s">
        <v>6</v>
      </c>
      <c r="G6" s="15" t="s">
        <v>7</v>
      </c>
    </row>
    <row r="7" spans="2:7" x14ac:dyDescent="0.35">
      <c r="B7" s="11" t="s">
        <v>8</v>
      </c>
      <c r="C7" s="43">
        <v>249000</v>
      </c>
      <c r="D7" s="43">
        <v>159000</v>
      </c>
      <c r="E7" s="43">
        <v>129000</v>
      </c>
      <c r="F7" s="41" t="s">
        <v>9</v>
      </c>
      <c r="G7" s="3" t="s">
        <v>10</v>
      </c>
    </row>
    <row r="8" spans="2:7" x14ac:dyDescent="0.35">
      <c r="B8" s="11" t="s">
        <v>11</v>
      </c>
      <c r="C8" s="44">
        <v>1E-3</v>
      </c>
      <c r="D8" s="44">
        <v>5.0000000000000001E-4</v>
      </c>
      <c r="E8" s="47">
        <v>2.9999999999999997E-4</v>
      </c>
      <c r="F8" s="41" t="s">
        <v>12</v>
      </c>
      <c r="G8" s="3" t="s">
        <v>13</v>
      </c>
    </row>
    <row r="9" spans="2:7" x14ac:dyDescent="0.35">
      <c r="B9" s="11" t="s">
        <v>14</v>
      </c>
      <c r="C9" s="43">
        <v>500000</v>
      </c>
      <c r="D9" s="43">
        <v>500000</v>
      </c>
      <c r="E9" s="43">
        <v>500000</v>
      </c>
      <c r="F9" s="41" t="s">
        <v>15</v>
      </c>
      <c r="G9" s="3" t="s">
        <v>16</v>
      </c>
    </row>
    <row r="11" spans="2:7" x14ac:dyDescent="0.35">
      <c r="B11" s="51" t="s">
        <v>17</v>
      </c>
      <c r="C11" s="51"/>
      <c r="D11" s="51"/>
      <c r="E11" s="51"/>
      <c r="F11" s="51"/>
    </row>
    <row r="12" spans="2:7" x14ac:dyDescent="0.35">
      <c r="B12" s="11" t="s">
        <v>18</v>
      </c>
      <c r="C12" s="43">
        <v>10000</v>
      </c>
      <c r="D12" s="43">
        <v>8800</v>
      </c>
      <c r="E12" s="43">
        <v>8800</v>
      </c>
      <c r="F12" s="41" t="s">
        <v>9</v>
      </c>
      <c r="G12" s="3" t="s">
        <v>19</v>
      </c>
    </row>
    <row r="13" spans="2:7" x14ac:dyDescent="0.35">
      <c r="B13" s="11" t="s">
        <v>20</v>
      </c>
      <c r="C13" s="43">
        <v>50000</v>
      </c>
      <c r="D13" s="43">
        <v>40000</v>
      </c>
      <c r="E13" s="43">
        <v>40000</v>
      </c>
      <c r="F13" s="41" t="s">
        <v>9</v>
      </c>
      <c r="G13" s="3" t="s">
        <v>21</v>
      </c>
    </row>
    <row r="14" spans="2:7" x14ac:dyDescent="0.35">
      <c r="B14" s="11" t="s">
        <v>22</v>
      </c>
      <c r="C14" s="43">
        <v>8000</v>
      </c>
      <c r="D14" s="43">
        <v>5000</v>
      </c>
      <c r="E14" s="43">
        <v>5000</v>
      </c>
      <c r="F14" s="41" t="s">
        <v>9</v>
      </c>
      <c r="G14" s="3" t="s">
        <v>23</v>
      </c>
    </row>
    <row r="15" spans="2:7" x14ac:dyDescent="0.35">
      <c r="B15" s="45" t="s">
        <v>24</v>
      </c>
      <c r="C15" s="46">
        <f>C12+C13+C14</f>
        <v>68000</v>
      </c>
      <c r="D15" s="46">
        <f>D12+D13+D14</f>
        <v>53800</v>
      </c>
      <c r="E15" s="46">
        <f>E12+E13+E14</f>
        <v>53800</v>
      </c>
      <c r="F15" s="48"/>
    </row>
    <row r="17" spans="2:7" x14ac:dyDescent="0.35">
      <c r="B17" s="51" t="s">
        <v>25</v>
      </c>
      <c r="C17" s="51"/>
      <c r="D17" s="51"/>
      <c r="E17" s="51"/>
      <c r="F17" s="51"/>
    </row>
    <row r="18" spans="2:7" x14ac:dyDescent="0.35">
      <c r="B18" s="11" t="s">
        <v>26</v>
      </c>
      <c r="C18" s="47">
        <v>0.05</v>
      </c>
      <c r="D18" s="47">
        <v>0.08</v>
      </c>
      <c r="E18" s="47">
        <v>0.15</v>
      </c>
      <c r="F18" s="41" t="s">
        <v>27</v>
      </c>
      <c r="G18" s="3" t="s">
        <v>28</v>
      </c>
    </row>
    <row r="19" spans="2:7" x14ac:dyDescent="0.35">
      <c r="B19" s="17" t="s">
        <v>29</v>
      </c>
      <c r="C19" s="37">
        <f>IFERROR(1/C18,0)</f>
        <v>20</v>
      </c>
      <c r="D19" s="37">
        <f>IFERROR(1/D18,0)</f>
        <v>12.5</v>
      </c>
      <c r="E19" s="37">
        <f>IFERROR(1/E18,0)</f>
        <v>6.6666666666666696</v>
      </c>
      <c r="F19" s="42"/>
    </row>
    <row r="21" spans="2:7" x14ac:dyDescent="0.35">
      <c r="B21" s="51" t="s">
        <v>30</v>
      </c>
      <c r="C21" s="51"/>
      <c r="D21" s="51"/>
      <c r="E21" s="51"/>
      <c r="F21" s="51"/>
    </row>
    <row r="22" spans="2:7" x14ac:dyDescent="0.35">
      <c r="B22" s="11" t="s">
        <v>31</v>
      </c>
      <c r="C22" s="43">
        <v>450000</v>
      </c>
      <c r="D22" s="43">
        <v>320000</v>
      </c>
      <c r="E22" s="43">
        <v>480000</v>
      </c>
      <c r="F22" s="41" t="s">
        <v>9</v>
      </c>
      <c r="G22" s="3" t="s">
        <v>32</v>
      </c>
    </row>
    <row r="24" spans="2:7" x14ac:dyDescent="0.35">
      <c r="B24" s="51" t="s">
        <v>33</v>
      </c>
      <c r="C24" s="51"/>
      <c r="D24" s="51"/>
      <c r="E24" s="51"/>
      <c r="F24" s="51"/>
    </row>
    <row r="25" spans="2:7" x14ac:dyDescent="0.35">
      <c r="B25" s="11" t="s">
        <v>34</v>
      </c>
      <c r="C25" s="43">
        <v>200000000</v>
      </c>
      <c r="D25" s="43">
        <v>50000000</v>
      </c>
      <c r="E25" s="43">
        <v>20000000</v>
      </c>
      <c r="F25" s="41" t="s">
        <v>35</v>
      </c>
      <c r="G25" s="3" t="s">
        <v>36</v>
      </c>
    </row>
    <row r="26" spans="2:7" x14ac:dyDescent="0.35">
      <c r="B26" s="11" t="s">
        <v>37</v>
      </c>
      <c r="C26" s="43">
        <v>30000000</v>
      </c>
      <c r="D26" s="43">
        <v>10000000</v>
      </c>
      <c r="E26" s="43">
        <v>5000000</v>
      </c>
      <c r="F26" s="41" t="s">
        <v>35</v>
      </c>
    </row>
    <row r="27" spans="2:7" x14ac:dyDescent="0.35">
      <c r="B27" s="11" t="s">
        <v>38</v>
      </c>
      <c r="C27" s="43">
        <v>50000000</v>
      </c>
      <c r="D27" s="43">
        <v>15000000</v>
      </c>
      <c r="E27" s="43">
        <v>10000000</v>
      </c>
      <c r="F27" s="41" t="s">
        <v>35</v>
      </c>
    </row>
    <row r="28" spans="2:7" x14ac:dyDescent="0.35">
      <c r="B28" s="17" t="s">
        <v>39</v>
      </c>
      <c r="C28" s="33">
        <f>SUM(C25:C27)</f>
        <v>280000000</v>
      </c>
      <c r="D28" s="33">
        <f>SUM(D25:D27)</f>
        <v>75000000</v>
      </c>
      <c r="E28" s="33">
        <f>SUM(E25:E27)</f>
        <v>35000000</v>
      </c>
      <c r="F28" s="42"/>
    </row>
    <row r="30" spans="2:7" x14ac:dyDescent="0.35">
      <c r="B30" s="51" t="s">
        <v>40</v>
      </c>
      <c r="C30" s="51"/>
      <c r="D30" s="51"/>
      <c r="E30" s="51"/>
      <c r="F30" s="51"/>
    </row>
    <row r="31" spans="2:7" x14ac:dyDescent="0.35">
      <c r="B31" s="11" t="s">
        <v>41</v>
      </c>
      <c r="C31" s="43">
        <v>1500000000</v>
      </c>
      <c r="D31" s="43">
        <v>300000000</v>
      </c>
      <c r="E31" s="43">
        <v>300000000</v>
      </c>
      <c r="F31" s="41" t="s">
        <v>9</v>
      </c>
      <c r="G31" s="3" t="s">
        <v>42</v>
      </c>
    </row>
    <row r="32" spans="2:7" x14ac:dyDescent="0.35">
      <c r="B32" s="11" t="s">
        <v>43</v>
      </c>
      <c r="C32" s="43">
        <v>3000000000</v>
      </c>
      <c r="D32" s="43">
        <v>1200000000</v>
      </c>
      <c r="E32" s="43">
        <v>1200000000</v>
      </c>
      <c r="F32" s="41" t="s">
        <v>9</v>
      </c>
      <c r="G32" s="3" t="s">
        <v>44</v>
      </c>
    </row>
    <row r="34" spans="2:7" x14ac:dyDescent="0.35">
      <c r="B34" s="51" t="s">
        <v>45</v>
      </c>
      <c r="C34" s="51"/>
      <c r="D34" s="51"/>
      <c r="E34" s="51"/>
      <c r="F34" s="51"/>
    </row>
    <row r="35" spans="2:7" x14ac:dyDescent="0.35">
      <c r="B35" s="11" t="s">
        <v>46</v>
      </c>
      <c r="C35" s="47">
        <v>0.2</v>
      </c>
      <c r="D35" s="47">
        <v>0.2</v>
      </c>
      <c r="E35" s="47">
        <v>0.2</v>
      </c>
      <c r="F35" s="41" t="s">
        <v>47</v>
      </c>
      <c r="G35" s="3" t="s">
        <v>48</v>
      </c>
    </row>
    <row r="36" spans="2:7" x14ac:dyDescent="0.35">
      <c r="B36" s="17" t="s">
        <v>49</v>
      </c>
      <c r="C36" s="34">
        <f>(1+C35)^(1/12)-1</f>
        <v>1.5309470499731199E-2</v>
      </c>
      <c r="D36" s="34">
        <f>(1+D35)^(1/12)-1</f>
        <v>1.5309470499731199E-2</v>
      </c>
      <c r="E36" s="34">
        <f>(1+E35)^(1/12)-1</f>
        <v>1.5309470499731199E-2</v>
      </c>
      <c r="F36" s="42"/>
    </row>
    <row r="38" spans="2:7" x14ac:dyDescent="0.35">
      <c r="B38" s="51" t="s">
        <v>50</v>
      </c>
      <c r="C38" s="51"/>
      <c r="D38" s="51"/>
      <c r="E38" s="51"/>
      <c r="F38" s="51"/>
    </row>
    <row r="39" spans="2:7" x14ac:dyDescent="0.35">
      <c r="B39" s="52" t="s">
        <v>136</v>
      </c>
      <c r="C39" s="52"/>
      <c r="D39" s="52"/>
      <c r="E39" s="52"/>
      <c r="F39" s="52"/>
    </row>
    <row r="40" spans="2:7" x14ac:dyDescent="0.35">
      <c r="B40" s="52"/>
      <c r="C40" s="52"/>
      <c r="D40" s="52"/>
      <c r="E40" s="52"/>
      <c r="F40" s="52"/>
    </row>
    <row r="41" spans="2:7" ht="65.5" customHeight="1" x14ac:dyDescent="0.35">
      <c r="B41" s="52"/>
      <c r="C41" s="52"/>
      <c r="D41" s="52"/>
      <c r="E41" s="52"/>
      <c r="F41" s="52"/>
    </row>
  </sheetData>
  <mergeCells count="11">
    <mergeCell ref="B39:F41"/>
    <mergeCell ref="B21:F21"/>
    <mergeCell ref="B24:F24"/>
    <mergeCell ref="B30:F30"/>
    <mergeCell ref="B34:F34"/>
    <mergeCell ref="B38:F38"/>
    <mergeCell ref="B2:F2"/>
    <mergeCell ref="B3:G3"/>
    <mergeCell ref="B5:F5"/>
    <mergeCell ref="B11:F1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5"/>
  <sheetViews>
    <sheetView zoomScale="70" zoomScaleNormal="70" workbookViewId="0">
      <pane ySplit="5" topLeftCell="A6" activePane="bottomLeft" state="frozen"/>
      <selection pane="bottomLeft" activeCell="E21" sqref="E21"/>
    </sheetView>
  </sheetViews>
  <sheetFormatPr defaultColWidth="8.6328125" defaultRowHeight="14.5" x14ac:dyDescent="0.3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35">
      <c r="B2" s="49" t="s">
        <v>51</v>
      </c>
      <c r="C2" s="49"/>
      <c r="D2" s="49"/>
      <c r="E2" s="49"/>
      <c r="F2" s="49"/>
    </row>
    <row r="3" spans="2:7" ht="19.5" customHeight="1" x14ac:dyDescent="0.35">
      <c r="B3" s="50" t="s">
        <v>52</v>
      </c>
      <c r="C3" s="50"/>
      <c r="D3" s="50"/>
      <c r="E3" s="50"/>
      <c r="F3" s="50"/>
      <c r="G3" s="50"/>
    </row>
    <row r="5" spans="2:7" x14ac:dyDescent="0.35">
      <c r="B5" s="15" t="s">
        <v>53</v>
      </c>
      <c r="C5" s="30" t="s">
        <v>3</v>
      </c>
      <c r="D5" s="31" t="s">
        <v>4</v>
      </c>
      <c r="E5" s="39" t="s">
        <v>5</v>
      </c>
      <c r="F5" s="40" t="s">
        <v>6</v>
      </c>
      <c r="G5" s="15" t="s">
        <v>54</v>
      </c>
    </row>
    <row r="7" spans="2:7" x14ac:dyDescent="0.35">
      <c r="B7" s="51" t="s">
        <v>55</v>
      </c>
      <c r="C7" s="51"/>
      <c r="D7" s="51"/>
      <c r="E7" s="51"/>
      <c r="F7" s="51"/>
    </row>
    <row r="8" spans="2:7" x14ac:dyDescent="0.35">
      <c r="B8" s="11" t="s">
        <v>56</v>
      </c>
      <c r="C8" s="32">
        <f>'1. Assumptions'!C7</f>
        <v>249000</v>
      </c>
      <c r="D8" s="32">
        <f>'1. Assumptions'!D7</f>
        <v>159000</v>
      </c>
      <c r="E8" s="32">
        <f>'1. Assumptions'!E7</f>
        <v>129000</v>
      </c>
      <c r="F8" s="41" t="s">
        <v>9</v>
      </c>
      <c r="G8" s="3" t="s">
        <v>57</v>
      </c>
    </row>
    <row r="9" spans="2:7" x14ac:dyDescent="0.35">
      <c r="B9" s="11" t="s">
        <v>58</v>
      </c>
      <c r="C9" s="32">
        <f>'1. Assumptions'!C15</f>
        <v>68000</v>
      </c>
      <c r="D9" s="32">
        <f>'1. Assumptions'!D15</f>
        <v>53800</v>
      </c>
      <c r="E9" s="32">
        <f>'1. Assumptions'!E15</f>
        <v>53800</v>
      </c>
      <c r="F9" s="41" t="s">
        <v>9</v>
      </c>
    </row>
    <row r="10" spans="2:7" x14ac:dyDescent="0.35">
      <c r="B10" s="17" t="s">
        <v>59</v>
      </c>
      <c r="C10" s="33">
        <f>C8-C9</f>
        <v>181000</v>
      </c>
      <c r="D10" s="33">
        <f>D8-D9</f>
        <v>105200</v>
      </c>
      <c r="E10" s="33">
        <f>E8-E9</f>
        <v>75200</v>
      </c>
      <c r="F10" s="42"/>
    </row>
    <row r="11" spans="2:7" x14ac:dyDescent="0.35">
      <c r="B11" s="17" t="s">
        <v>60</v>
      </c>
      <c r="C11" s="34">
        <f>IFERROR(C10/C8,0)</f>
        <v>0.7269076305220884</v>
      </c>
      <c r="D11" s="34">
        <f>IFERROR(D10/D8,0)</f>
        <v>0.66163522012578602</v>
      </c>
      <c r="E11" s="34">
        <f>IFERROR(E10/E8,0)</f>
        <v>0.58294573643410896</v>
      </c>
      <c r="F11" s="42"/>
      <c r="G11" s="3" t="s">
        <v>61</v>
      </c>
    </row>
    <row r="13" spans="2:7" x14ac:dyDescent="0.35">
      <c r="B13" s="51" t="s">
        <v>62</v>
      </c>
      <c r="C13" s="51"/>
      <c r="D13" s="51"/>
      <c r="E13" s="51"/>
      <c r="F13" s="51"/>
    </row>
    <row r="14" spans="2:7" x14ac:dyDescent="0.35">
      <c r="B14" s="11" t="s">
        <v>63</v>
      </c>
      <c r="C14" s="35">
        <f>'1. Assumptions'!C19</f>
        <v>20</v>
      </c>
      <c r="D14" s="35">
        <f>'1. Assumptions'!D19</f>
        <v>12.5</v>
      </c>
      <c r="E14" s="35">
        <f>'1. Assumptions'!E19</f>
        <v>6.6666666666666696</v>
      </c>
      <c r="F14" s="41" t="s">
        <v>64</v>
      </c>
    </row>
    <row r="15" spans="2:7" x14ac:dyDescent="0.35">
      <c r="B15" s="17" t="s">
        <v>65</v>
      </c>
      <c r="C15" s="33">
        <f>C10*C14</f>
        <v>3620000</v>
      </c>
      <c r="D15" s="33">
        <f>D10*D14</f>
        <v>1315000</v>
      </c>
      <c r="E15" s="33">
        <f>E10*E14</f>
        <v>501333.33333333302</v>
      </c>
      <c r="F15" s="42"/>
      <c r="G15" s="3" t="s">
        <v>66</v>
      </c>
    </row>
    <row r="17" spans="2:7" x14ac:dyDescent="0.35">
      <c r="B17" s="51" t="s">
        <v>67</v>
      </c>
      <c r="C17" s="51"/>
      <c r="D17" s="51"/>
      <c r="E17" s="51"/>
      <c r="F17" s="51"/>
    </row>
    <row r="18" spans="2:7" x14ac:dyDescent="0.35">
      <c r="B18" s="11" t="s">
        <v>68</v>
      </c>
      <c r="C18" s="32">
        <f>'1. Assumptions'!C22</f>
        <v>450000</v>
      </c>
      <c r="D18" s="32">
        <f>'1. Assumptions'!D22</f>
        <v>320000</v>
      </c>
      <c r="E18" s="32">
        <f>'1. Assumptions'!E22</f>
        <v>480000</v>
      </c>
      <c r="F18" s="41" t="s">
        <v>9</v>
      </c>
    </row>
    <row r="20" spans="2:7" x14ac:dyDescent="0.35">
      <c r="B20" s="51" t="s">
        <v>69</v>
      </c>
      <c r="C20" s="51"/>
      <c r="D20" s="51"/>
      <c r="E20" s="51"/>
      <c r="F20" s="51"/>
    </row>
    <row r="21" spans="2:7" x14ac:dyDescent="0.35">
      <c r="B21" s="17" t="s">
        <v>70</v>
      </c>
      <c r="C21" s="36">
        <f>IFERROR(C15/C18,0)</f>
        <v>8.0444444444444443</v>
      </c>
      <c r="D21" s="36">
        <f>IFERROR(D15/D18,0)</f>
        <v>4.109375</v>
      </c>
      <c r="E21" s="36">
        <f>IFERROR(E15/E18,0)</f>
        <v>1.0444444444444438</v>
      </c>
      <c r="F21" s="42"/>
      <c r="G21" s="3" t="s">
        <v>71</v>
      </c>
    </row>
    <row r="22" spans="2:7" x14ac:dyDescent="0.35">
      <c r="B22" s="17" t="s">
        <v>72</v>
      </c>
      <c r="C22" s="37">
        <f>IFERROR(C18/C10,0)</f>
        <v>2.4861878453038675</v>
      </c>
      <c r="D22" s="37">
        <f>IFERROR(D18/D10,0)</f>
        <v>3.04182509505703</v>
      </c>
      <c r="E22" s="37">
        <f>IFERROR(E18/E10,0)</f>
        <v>6.3829787234042552</v>
      </c>
      <c r="F22" s="42"/>
      <c r="G22" s="3" t="s">
        <v>73</v>
      </c>
    </row>
    <row r="24" spans="2:7" x14ac:dyDescent="0.35">
      <c r="B24" s="51" t="s">
        <v>74</v>
      </c>
      <c r="C24" s="51"/>
      <c r="D24" s="51"/>
      <c r="E24" s="51"/>
      <c r="F24" s="51"/>
    </row>
    <row r="25" spans="2:7" x14ac:dyDescent="0.35">
      <c r="B25" s="15" t="s">
        <v>75</v>
      </c>
      <c r="C25" s="38" t="str">
        <f>IF(AND(C21&gt;=3,C22&lt;=12),"✓ HEALTHY",IF(OR(C21&lt;1,C22&gt;18),"✗ UNHEALTHY","⚠ WATCH"))</f>
        <v>✓ HEALTHY</v>
      </c>
      <c r="D25" s="38" t="str">
        <f>IF(AND(D21&gt;=3,D22&lt;=12),"✓ HEALTHY",IF(OR(D21&lt;1,D22&gt;18),"✗ UNHEALTHY","⚠ WATCH"))</f>
        <v>✓ HEALTHY</v>
      </c>
      <c r="E25" s="38" t="str">
        <f>IF(AND(E21&gt;=3,E22&lt;=12),"✓ HEALTHY",IF(OR(E21&lt;1,E22&gt;18),"✗ UNHEALTHY","⚠ WATCH"))</f>
        <v>⚠ WATCH</v>
      </c>
    </row>
  </sheetData>
  <mergeCells count="7">
    <mergeCell ref="B20:F20"/>
    <mergeCell ref="B24:F24"/>
    <mergeCell ref="B2:F2"/>
    <mergeCell ref="B3:G3"/>
    <mergeCell ref="B7:F7"/>
    <mergeCell ref="B13:F13"/>
    <mergeCell ref="B17:F17"/>
  </mergeCells>
  <conditionalFormatting sqref="C21:E21">
    <cfRule type="cellIs" dxfId="11" priority="2" operator="lessThan">
      <formula>1</formula>
    </cfRule>
    <cfRule type="cellIs" dxfId="10" priority="3" operator="between">
      <formula>1</formula>
      <formula>3</formula>
    </cfRule>
    <cfRule type="cellIs" dxfId="9" priority="4" operator="greaterThanOrEqual">
      <formula>3</formula>
    </cfRule>
  </conditionalFormatting>
  <conditionalFormatting sqref="C22:E22">
    <cfRule type="cellIs" dxfId="8" priority="11" operator="greaterThan">
      <formula>18</formula>
    </cfRule>
    <cfRule type="cellIs" dxfId="7" priority="12" operator="between">
      <formula>12</formula>
      <formula>18</formula>
    </cfRule>
    <cfRule type="cellIs" dxfId="6" priority="13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4"/>
  <sheetViews>
    <sheetView zoomScale="70" zoomScaleNormal="70" workbookViewId="0">
      <pane xSplit="2" ySplit="21" topLeftCell="C26" activePane="bottomRight" state="frozen"/>
      <selection pane="topRight"/>
      <selection pane="bottomLeft"/>
      <selection pane="bottomRight" activeCell="C40" sqref="C40"/>
    </sheetView>
  </sheetViews>
  <sheetFormatPr defaultColWidth="8.6328125" defaultRowHeight="14.5" x14ac:dyDescent="0.35"/>
  <cols>
    <col min="1" max="1" width="3" customWidth="1"/>
    <col min="2" max="2" width="36" customWidth="1"/>
    <col min="3" max="26" width="13" customWidth="1"/>
    <col min="27" max="27" width="16" customWidth="1"/>
  </cols>
  <sheetData>
    <row r="2" spans="2:8" ht="30" hidden="1" customHeight="1" x14ac:dyDescent="0.35">
      <c r="B2" s="49" t="s">
        <v>76</v>
      </c>
      <c r="C2" s="49"/>
      <c r="D2" s="49"/>
      <c r="E2" s="49"/>
      <c r="F2" s="49"/>
      <c r="G2" s="49"/>
      <c r="H2" s="49"/>
    </row>
    <row r="3" spans="2:8" hidden="1" x14ac:dyDescent="0.35"/>
    <row r="4" spans="2:8" ht="15" hidden="1" customHeight="1" x14ac:dyDescent="0.35">
      <c r="B4" s="1" t="s">
        <v>77</v>
      </c>
      <c r="C4" s="2" t="s">
        <v>5</v>
      </c>
      <c r="D4" s="50" t="s">
        <v>78</v>
      </c>
      <c r="E4" s="50"/>
      <c r="F4" s="50"/>
      <c r="G4" s="50"/>
      <c r="H4" s="50"/>
    </row>
    <row r="5" spans="2:8" hidden="1" x14ac:dyDescent="0.35"/>
    <row r="6" spans="2:8" hidden="1" x14ac:dyDescent="0.35">
      <c r="B6" s="4" t="s">
        <v>79</v>
      </c>
      <c r="C6" s="4">
        <f>MATCH(C4,{"Optimistic","Base","Pessimistic"},0)</f>
        <v>3</v>
      </c>
    </row>
    <row r="7" spans="2:8" hidden="1" x14ac:dyDescent="0.35">
      <c r="B7" s="5" t="s">
        <v>80</v>
      </c>
    </row>
    <row r="8" spans="2:8" hidden="1" x14ac:dyDescent="0.35">
      <c r="B8" s="6" t="s">
        <v>81</v>
      </c>
      <c r="C8" s="7">
        <f>CHOOSE($C$6,'1. Assumptions'!C7,'1. Assumptions'!D7,'1. Assumptions'!E7)</f>
        <v>129000</v>
      </c>
    </row>
    <row r="9" spans="2:8" hidden="1" x14ac:dyDescent="0.35">
      <c r="B9" s="6" t="s">
        <v>82</v>
      </c>
      <c r="C9" s="8">
        <f>CHOOSE($C$6,'1. Assumptions'!C8,'1. Assumptions'!D8,'1. Assumptions'!E8)</f>
        <v>2.9999999999999997E-4</v>
      </c>
    </row>
    <row r="10" spans="2:8" hidden="1" x14ac:dyDescent="0.35">
      <c r="B10" s="6" t="s">
        <v>83</v>
      </c>
      <c r="C10" s="7">
        <f>CHOOSE($C$6,'1. Assumptions'!C9,'1. Assumptions'!D9,'1. Assumptions'!E9)</f>
        <v>500000</v>
      </c>
    </row>
    <row r="11" spans="2:8" hidden="1" x14ac:dyDescent="0.35">
      <c r="B11" s="6" t="s">
        <v>84</v>
      </c>
      <c r="C11" s="7">
        <f>CHOOSE($C$6,'1. Assumptions'!C15,'1. Assumptions'!D15,'1. Assumptions'!E15)</f>
        <v>53800</v>
      </c>
    </row>
    <row r="12" spans="2:8" hidden="1" x14ac:dyDescent="0.35">
      <c r="B12" s="6" t="s">
        <v>85</v>
      </c>
      <c r="C12" s="8">
        <f>CHOOSE($C$6,'1. Assumptions'!C18,'1. Assumptions'!D18,'1. Assumptions'!E18)</f>
        <v>0.15</v>
      </c>
    </row>
    <row r="13" spans="2:8" hidden="1" x14ac:dyDescent="0.35">
      <c r="B13" s="6" t="s">
        <v>86</v>
      </c>
      <c r="C13" s="7">
        <f>CHOOSE($C$6,'1. Assumptions'!C22,'1. Assumptions'!D22,'1. Assumptions'!E22)</f>
        <v>480000</v>
      </c>
    </row>
    <row r="14" spans="2:8" hidden="1" x14ac:dyDescent="0.35">
      <c r="B14" s="6" t="s">
        <v>87</v>
      </c>
      <c r="C14" s="7">
        <f>CHOOSE($C$6,'1. Assumptions'!C28,'1. Assumptions'!D28,'1. Assumptions'!E28)</f>
        <v>35000000</v>
      </c>
    </row>
    <row r="15" spans="2:8" hidden="1" x14ac:dyDescent="0.35">
      <c r="B15" s="6" t="s">
        <v>88</v>
      </c>
      <c r="C15" s="7">
        <f>CHOOSE($C$6,'1. Assumptions'!C31,'1. Assumptions'!D31,'1. Assumptions'!E31)</f>
        <v>300000000</v>
      </c>
    </row>
    <row r="16" spans="2:8" hidden="1" x14ac:dyDescent="0.35">
      <c r="B16" s="6" t="s">
        <v>89</v>
      </c>
      <c r="C16" s="7">
        <f>CHOOSE($C$6,'1. Assumptions'!C32,'1. Assumptions'!D32,'1. Assumptions'!E32)</f>
        <v>1200000000</v>
      </c>
    </row>
    <row r="17" spans="2:27" hidden="1" x14ac:dyDescent="0.35">
      <c r="B17" s="6" t="s">
        <v>90</v>
      </c>
      <c r="C17" s="8">
        <f>CHOOSE($C$6,'1. Assumptions'!C36,'1. Assumptions'!D36,'1. Assumptions'!E36)</f>
        <v>1.5309470499731199E-2</v>
      </c>
    </row>
    <row r="20" spans="2:27" ht="16" customHeight="1" x14ac:dyDescent="0.35">
      <c r="B20" s="51" t="s">
        <v>91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spans="2:27" x14ac:dyDescent="0.35">
      <c r="B21" s="9" t="s">
        <v>92</v>
      </c>
      <c r="C21" s="10" t="s">
        <v>93</v>
      </c>
      <c r="D21" s="10" t="s">
        <v>94</v>
      </c>
      <c r="E21" s="10" t="s">
        <v>95</v>
      </c>
      <c r="F21" s="10" t="s">
        <v>96</v>
      </c>
      <c r="G21" s="10" t="s">
        <v>97</v>
      </c>
      <c r="H21" s="10" t="s">
        <v>98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104</v>
      </c>
      <c r="O21" s="10" t="s">
        <v>105</v>
      </c>
      <c r="P21" s="10" t="s">
        <v>106</v>
      </c>
      <c r="Q21" s="10" t="s">
        <v>107</v>
      </c>
      <c r="R21" s="10" t="s">
        <v>108</v>
      </c>
      <c r="S21" s="10" t="s">
        <v>109</v>
      </c>
      <c r="T21" s="10" t="s">
        <v>110</v>
      </c>
      <c r="U21" s="10" t="s">
        <v>111</v>
      </c>
      <c r="V21" s="10" t="s">
        <v>112</v>
      </c>
      <c r="W21" s="10" t="s">
        <v>113</v>
      </c>
      <c r="X21" s="10" t="s">
        <v>114</v>
      </c>
      <c r="Y21" s="10" t="s">
        <v>115</v>
      </c>
      <c r="Z21" s="10" t="s">
        <v>116</v>
      </c>
      <c r="AA21" s="26" t="s">
        <v>117</v>
      </c>
    </row>
    <row r="22" spans="2:27" x14ac:dyDescent="0.35">
      <c r="B22" s="11" t="s">
        <v>118</v>
      </c>
      <c r="C22" s="12">
        <f t="shared" ref="C22:Z22" si="0">ROUND($C$10*$C$9,0)</f>
        <v>150</v>
      </c>
      <c r="D22" s="12">
        <f t="shared" si="0"/>
        <v>150</v>
      </c>
      <c r="E22" s="12">
        <f t="shared" si="0"/>
        <v>150</v>
      </c>
      <c r="F22" s="12">
        <f t="shared" si="0"/>
        <v>150</v>
      </c>
      <c r="G22" s="12">
        <f t="shared" si="0"/>
        <v>150</v>
      </c>
      <c r="H22" s="12">
        <f t="shared" si="0"/>
        <v>150</v>
      </c>
      <c r="I22" s="12">
        <f t="shared" si="0"/>
        <v>150</v>
      </c>
      <c r="J22" s="12">
        <f t="shared" si="0"/>
        <v>150</v>
      </c>
      <c r="K22" s="12">
        <f t="shared" si="0"/>
        <v>150</v>
      </c>
      <c r="L22" s="12">
        <f t="shared" si="0"/>
        <v>150</v>
      </c>
      <c r="M22" s="12">
        <f t="shared" si="0"/>
        <v>150</v>
      </c>
      <c r="N22" s="12">
        <f t="shared" si="0"/>
        <v>150</v>
      </c>
      <c r="O22" s="12">
        <f t="shared" si="0"/>
        <v>150</v>
      </c>
      <c r="P22" s="12">
        <f t="shared" si="0"/>
        <v>150</v>
      </c>
      <c r="Q22" s="12">
        <f t="shared" si="0"/>
        <v>150</v>
      </c>
      <c r="R22" s="12">
        <f t="shared" si="0"/>
        <v>150</v>
      </c>
      <c r="S22" s="12">
        <f t="shared" si="0"/>
        <v>150</v>
      </c>
      <c r="T22" s="12">
        <f t="shared" si="0"/>
        <v>150</v>
      </c>
      <c r="U22" s="12">
        <f t="shared" si="0"/>
        <v>150</v>
      </c>
      <c r="V22" s="12">
        <f t="shared" si="0"/>
        <v>150</v>
      </c>
      <c r="W22" s="12">
        <f t="shared" si="0"/>
        <v>150</v>
      </c>
      <c r="X22" s="12">
        <f t="shared" si="0"/>
        <v>150</v>
      </c>
      <c r="Y22" s="12">
        <f t="shared" si="0"/>
        <v>150</v>
      </c>
      <c r="Z22" s="12">
        <f t="shared" si="0"/>
        <v>150</v>
      </c>
      <c r="AA22" s="27">
        <f>SUM(C22:Z22)</f>
        <v>3600</v>
      </c>
    </row>
    <row r="23" spans="2:27" x14ac:dyDescent="0.35">
      <c r="B23" s="11" t="s">
        <v>119</v>
      </c>
      <c r="C23" s="12">
        <f>C22</f>
        <v>150</v>
      </c>
      <c r="D23" s="12">
        <f t="shared" ref="D23:Z23" si="1">C23*(1-$C$12)+D22</f>
        <v>277.5</v>
      </c>
      <c r="E23" s="12">
        <f t="shared" si="1"/>
        <v>385.875</v>
      </c>
      <c r="F23" s="12">
        <f t="shared" si="1"/>
        <v>477.99374999999998</v>
      </c>
      <c r="G23" s="12">
        <f t="shared" si="1"/>
        <v>556.29468750000001</v>
      </c>
      <c r="H23" s="12">
        <f t="shared" si="1"/>
        <v>622.85048437499995</v>
      </c>
      <c r="I23" s="12">
        <f t="shared" si="1"/>
        <v>679.4229117187499</v>
      </c>
      <c r="J23" s="12">
        <f t="shared" si="1"/>
        <v>727.50947496093738</v>
      </c>
      <c r="K23" s="12">
        <f t="shared" si="1"/>
        <v>768.38305371679678</v>
      </c>
      <c r="L23" s="12">
        <f t="shared" si="1"/>
        <v>803.12559565927722</v>
      </c>
      <c r="M23" s="12">
        <f t="shared" si="1"/>
        <v>832.65675631038562</v>
      </c>
      <c r="N23" s="12">
        <f t="shared" si="1"/>
        <v>857.75824286382772</v>
      </c>
      <c r="O23" s="12">
        <f t="shared" si="1"/>
        <v>879.0945064342535</v>
      </c>
      <c r="P23" s="12">
        <f t="shared" si="1"/>
        <v>897.23033046911542</v>
      </c>
      <c r="Q23" s="12">
        <f t="shared" si="1"/>
        <v>912.64578089874806</v>
      </c>
      <c r="R23" s="12">
        <f t="shared" si="1"/>
        <v>925.74891376393578</v>
      </c>
      <c r="S23" s="12">
        <f t="shared" si="1"/>
        <v>936.88657669934537</v>
      </c>
      <c r="T23" s="12">
        <f t="shared" si="1"/>
        <v>946.35359019444354</v>
      </c>
      <c r="U23" s="12">
        <f t="shared" si="1"/>
        <v>954.40055166527702</v>
      </c>
      <c r="V23" s="12">
        <f t="shared" si="1"/>
        <v>961.24046891548539</v>
      </c>
      <c r="W23" s="12">
        <f t="shared" si="1"/>
        <v>967.05439857816259</v>
      </c>
      <c r="X23" s="12">
        <f t="shared" si="1"/>
        <v>971.99623879143815</v>
      </c>
      <c r="Y23" s="12">
        <f t="shared" si="1"/>
        <v>976.19680297272237</v>
      </c>
      <c r="Z23" s="12">
        <f t="shared" si="1"/>
        <v>979.76728252681403</v>
      </c>
    </row>
    <row r="25" spans="2:27" x14ac:dyDescent="0.35">
      <c r="B25" s="13" t="s">
        <v>120</v>
      </c>
      <c r="C25" s="14">
        <f t="shared" ref="C25:Z25" si="2">C23*$C$8</f>
        <v>19350000</v>
      </c>
      <c r="D25" s="14">
        <f t="shared" si="2"/>
        <v>35797500</v>
      </c>
      <c r="E25" s="14">
        <f t="shared" si="2"/>
        <v>49777875</v>
      </c>
      <c r="F25" s="14">
        <f t="shared" si="2"/>
        <v>61661193.75</v>
      </c>
      <c r="G25" s="14">
        <f t="shared" si="2"/>
        <v>71762014.6875</v>
      </c>
      <c r="H25" s="14">
        <f t="shared" si="2"/>
        <v>80347712.484375</v>
      </c>
      <c r="I25" s="14">
        <f t="shared" si="2"/>
        <v>87645555.611718744</v>
      </c>
      <c r="J25" s="14">
        <f t="shared" si="2"/>
        <v>93848722.269960925</v>
      </c>
      <c r="K25" s="14">
        <f t="shared" si="2"/>
        <v>99121413.929466784</v>
      </c>
      <c r="L25" s="14">
        <f t="shared" si="2"/>
        <v>103603201.84004676</v>
      </c>
      <c r="M25" s="14">
        <f t="shared" si="2"/>
        <v>107412721.56403975</v>
      </c>
      <c r="N25" s="14">
        <f t="shared" si="2"/>
        <v>110650813.32943377</v>
      </c>
      <c r="O25" s="14">
        <f t="shared" si="2"/>
        <v>113403191.3300187</v>
      </c>
      <c r="P25" s="14">
        <f t="shared" si="2"/>
        <v>115742712.63051589</v>
      </c>
      <c r="Q25" s="14">
        <f t="shared" si="2"/>
        <v>117731305.7359385</v>
      </c>
      <c r="R25" s="14">
        <f t="shared" si="2"/>
        <v>119421609.87554772</v>
      </c>
      <c r="S25" s="14">
        <f t="shared" si="2"/>
        <v>120858368.39421555</v>
      </c>
      <c r="T25" s="14">
        <f t="shared" si="2"/>
        <v>122079613.13508321</v>
      </c>
      <c r="U25" s="14">
        <f t="shared" si="2"/>
        <v>123117671.16482073</v>
      </c>
      <c r="V25" s="14">
        <f t="shared" si="2"/>
        <v>124000020.49009761</v>
      </c>
      <c r="W25" s="14">
        <f t="shared" si="2"/>
        <v>124750017.41658297</v>
      </c>
      <c r="X25" s="14">
        <f t="shared" si="2"/>
        <v>125387514.80409552</v>
      </c>
      <c r="Y25" s="14">
        <f t="shared" si="2"/>
        <v>125929387.58348119</v>
      </c>
      <c r="Z25" s="14">
        <f t="shared" si="2"/>
        <v>126389979.44595902</v>
      </c>
      <c r="AA25" s="28">
        <f t="shared" ref="AA25:AA30" si="3">SUM(C25:Z25)</f>
        <v>2379790116.4728985</v>
      </c>
    </row>
    <row r="26" spans="2:27" x14ac:dyDescent="0.35">
      <c r="B26" s="11" t="s">
        <v>121</v>
      </c>
      <c r="C26" s="12">
        <f t="shared" ref="C26:Z26" si="4">C23*$C$11</f>
        <v>8070000</v>
      </c>
      <c r="D26" s="12">
        <f t="shared" si="4"/>
        <v>14929500</v>
      </c>
      <c r="E26" s="12">
        <f t="shared" si="4"/>
        <v>20760075</v>
      </c>
      <c r="F26" s="12">
        <f t="shared" si="4"/>
        <v>25716063.75</v>
      </c>
      <c r="G26" s="12">
        <f t="shared" si="4"/>
        <v>29928654.1875</v>
      </c>
      <c r="H26" s="12">
        <f t="shared" si="4"/>
        <v>33509356.059374996</v>
      </c>
      <c r="I26" s="12">
        <f t="shared" si="4"/>
        <v>36552952.650468744</v>
      </c>
      <c r="J26" s="12">
        <f t="shared" si="4"/>
        <v>39140009.752898432</v>
      </c>
      <c r="K26" s="12">
        <f t="shared" si="4"/>
        <v>41339008.28996367</v>
      </c>
      <c r="L26" s="12">
        <f t="shared" si="4"/>
        <v>43208157.046469115</v>
      </c>
      <c r="M26" s="12">
        <f t="shared" si="4"/>
        <v>44796933.489498749</v>
      </c>
      <c r="N26" s="12">
        <f t="shared" si="4"/>
        <v>46147393.46607393</v>
      </c>
      <c r="O26" s="12">
        <f t="shared" si="4"/>
        <v>47295284.446162835</v>
      </c>
      <c r="P26" s="12">
        <f t="shared" si="4"/>
        <v>48270991.77923841</v>
      </c>
      <c r="Q26" s="12">
        <f t="shared" si="4"/>
        <v>49100343.012352645</v>
      </c>
      <c r="R26" s="12">
        <f t="shared" si="4"/>
        <v>49805291.560499743</v>
      </c>
      <c r="S26" s="12">
        <f t="shared" si="4"/>
        <v>50404497.826424778</v>
      </c>
      <c r="T26" s="12">
        <f t="shared" si="4"/>
        <v>50913823.152461059</v>
      </c>
      <c r="U26" s="12">
        <f t="shared" si="4"/>
        <v>51346749.679591902</v>
      </c>
      <c r="V26" s="12">
        <f t="shared" si="4"/>
        <v>51714737.227653116</v>
      </c>
      <c r="W26" s="12">
        <f t="shared" si="4"/>
        <v>52027526.643505149</v>
      </c>
      <c r="X26" s="12">
        <f t="shared" si="4"/>
        <v>52293397.646979369</v>
      </c>
      <c r="Y26" s="12">
        <f t="shared" si="4"/>
        <v>52519387.99993246</v>
      </c>
      <c r="Z26" s="12">
        <f t="shared" si="4"/>
        <v>52711479.799942598</v>
      </c>
      <c r="AA26" s="27">
        <f t="shared" si="3"/>
        <v>992501614.46699154</v>
      </c>
    </row>
    <row r="27" spans="2:27" x14ac:dyDescent="0.35">
      <c r="B27" s="15" t="s">
        <v>122</v>
      </c>
      <c r="C27" s="16">
        <f t="shared" ref="C27:Z27" si="5">C25-C26</f>
        <v>11280000</v>
      </c>
      <c r="D27" s="16">
        <f t="shared" si="5"/>
        <v>20868000</v>
      </c>
      <c r="E27" s="16">
        <f t="shared" si="5"/>
        <v>29017800</v>
      </c>
      <c r="F27" s="16">
        <f t="shared" si="5"/>
        <v>35945130</v>
      </c>
      <c r="G27" s="16">
        <f t="shared" si="5"/>
        <v>41833360.5</v>
      </c>
      <c r="H27" s="16">
        <f t="shared" si="5"/>
        <v>46838356.425000004</v>
      </c>
      <c r="I27" s="16">
        <f t="shared" si="5"/>
        <v>51092602.96125</v>
      </c>
      <c r="J27" s="16">
        <f t="shared" si="5"/>
        <v>54708712.517062493</v>
      </c>
      <c r="K27" s="16">
        <f t="shared" si="5"/>
        <v>57782405.639503114</v>
      </c>
      <c r="L27" s="16">
        <f t="shared" si="5"/>
        <v>60395044.793577649</v>
      </c>
      <c r="M27" s="16">
        <f t="shared" si="5"/>
        <v>62615788.074541003</v>
      </c>
      <c r="N27" s="16">
        <f t="shared" si="5"/>
        <v>64503419.863359839</v>
      </c>
      <c r="O27" s="16">
        <f t="shared" si="5"/>
        <v>66107906.883855864</v>
      </c>
      <c r="P27" s="16">
        <f t="shared" si="5"/>
        <v>67471720.851277471</v>
      </c>
      <c r="Q27" s="16">
        <f t="shared" si="5"/>
        <v>68630962.723585859</v>
      </c>
      <c r="R27" s="16">
        <f t="shared" si="5"/>
        <v>69616318.315047979</v>
      </c>
      <c r="S27" s="16">
        <f t="shared" si="5"/>
        <v>70453870.567790776</v>
      </c>
      <c r="T27" s="16">
        <f t="shared" si="5"/>
        <v>71165789.982622147</v>
      </c>
      <c r="U27" s="16">
        <f t="shared" si="5"/>
        <v>71770921.485228837</v>
      </c>
      <c r="V27" s="16">
        <f t="shared" si="5"/>
        <v>72285283.262444496</v>
      </c>
      <c r="W27" s="16">
        <f t="shared" si="5"/>
        <v>72722490.773077816</v>
      </c>
      <c r="X27" s="16">
        <f t="shared" si="5"/>
        <v>73094117.157116145</v>
      </c>
      <c r="Y27" s="16">
        <f t="shared" si="5"/>
        <v>73409999.583548725</v>
      </c>
      <c r="Z27" s="16">
        <f t="shared" si="5"/>
        <v>73678499.646016419</v>
      </c>
      <c r="AA27" s="27">
        <f t="shared" si="3"/>
        <v>1387288502.0059066</v>
      </c>
    </row>
    <row r="28" spans="2:27" x14ac:dyDescent="0.35">
      <c r="B28" s="11" t="s">
        <v>123</v>
      </c>
      <c r="C28" s="12">
        <f t="shared" ref="C28:Z28" si="6">C22*$C$13</f>
        <v>72000000</v>
      </c>
      <c r="D28" s="12">
        <f t="shared" si="6"/>
        <v>72000000</v>
      </c>
      <c r="E28" s="12">
        <f t="shared" si="6"/>
        <v>72000000</v>
      </c>
      <c r="F28" s="12">
        <f t="shared" si="6"/>
        <v>72000000</v>
      </c>
      <c r="G28" s="12">
        <f t="shared" si="6"/>
        <v>72000000</v>
      </c>
      <c r="H28" s="12">
        <f t="shared" si="6"/>
        <v>72000000</v>
      </c>
      <c r="I28" s="12">
        <f t="shared" si="6"/>
        <v>72000000</v>
      </c>
      <c r="J28" s="12">
        <f t="shared" si="6"/>
        <v>72000000</v>
      </c>
      <c r="K28" s="12">
        <f t="shared" si="6"/>
        <v>72000000</v>
      </c>
      <c r="L28" s="12">
        <f t="shared" si="6"/>
        <v>72000000</v>
      </c>
      <c r="M28" s="12">
        <f t="shared" si="6"/>
        <v>72000000</v>
      </c>
      <c r="N28" s="12">
        <f t="shared" si="6"/>
        <v>72000000</v>
      </c>
      <c r="O28" s="12">
        <f t="shared" si="6"/>
        <v>72000000</v>
      </c>
      <c r="P28" s="12">
        <f t="shared" si="6"/>
        <v>72000000</v>
      </c>
      <c r="Q28" s="12">
        <f t="shared" si="6"/>
        <v>72000000</v>
      </c>
      <c r="R28" s="12">
        <f t="shared" si="6"/>
        <v>72000000</v>
      </c>
      <c r="S28" s="12">
        <f t="shared" si="6"/>
        <v>72000000</v>
      </c>
      <c r="T28" s="12">
        <f t="shared" si="6"/>
        <v>72000000</v>
      </c>
      <c r="U28" s="12">
        <f t="shared" si="6"/>
        <v>72000000</v>
      </c>
      <c r="V28" s="12">
        <f t="shared" si="6"/>
        <v>72000000</v>
      </c>
      <c r="W28" s="12">
        <f t="shared" si="6"/>
        <v>72000000</v>
      </c>
      <c r="X28" s="12">
        <f t="shared" si="6"/>
        <v>72000000</v>
      </c>
      <c r="Y28" s="12">
        <f t="shared" si="6"/>
        <v>72000000</v>
      </c>
      <c r="Z28" s="12">
        <f t="shared" si="6"/>
        <v>72000000</v>
      </c>
      <c r="AA28" s="27">
        <f t="shared" si="3"/>
        <v>1728000000</v>
      </c>
    </row>
    <row r="29" spans="2:27" x14ac:dyDescent="0.35">
      <c r="B29" s="11" t="s">
        <v>124</v>
      </c>
      <c r="C29" s="12">
        <f t="shared" ref="C29:Z29" si="7">$C$14</f>
        <v>35000000</v>
      </c>
      <c r="D29" s="12">
        <f t="shared" si="7"/>
        <v>35000000</v>
      </c>
      <c r="E29" s="12">
        <f t="shared" si="7"/>
        <v>35000000</v>
      </c>
      <c r="F29" s="12">
        <f t="shared" si="7"/>
        <v>35000000</v>
      </c>
      <c r="G29" s="12">
        <f t="shared" si="7"/>
        <v>35000000</v>
      </c>
      <c r="H29" s="12">
        <f t="shared" si="7"/>
        <v>35000000</v>
      </c>
      <c r="I29" s="12">
        <f t="shared" si="7"/>
        <v>35000000</v>
      </c>
      <c r="J29" s="12">
        <f t="shared" si="7"/>
        <v>35000000</v>
      </c>
      <c r="K29" s="12">
        <f t="shared" si="7"/>
        <v>35000000</v>
      </c>
      <c r="L29" s="12">
        <f t="shared" si="7"/>
        <v>35000000</v>
      </c>
      <c r="M29" s="12">
        <f t="shared" si="7"/>
        <v>35000000</v>
      </c>
      <c r="N29" s="12">
        <f t="shared" si="7"/>
        <v>35000000</v>
      </c>
      <c r="O29" s="12">
        <f t="shared" si="7"/>
        <v>35000000</v>
      </c>
      <c r="P29" s="12">
        <f t="shared" si="7"/>
        <v>35000000</v>
      </c>
      <c r="Q29" s="12">
        <f t="shared" si="7"/>
        <v>35000000</v>
      </c>
      <c r="R29" s="12">
        <f t="shared" si="7"/>
        <v>35000000</v>
      </c>
      <c r="S29" s="12">
        <f t="shared" si="7"/>
        <v>35000000</v>
      </c>
      <c r="T29" s="12">
        <f t="shared" si="7"/>
        <v>35000000</v>
      </c>
      <c r="U29" s="12">
        <f t="shared" si="7"/>
        <v>35000000</v>
      </c>
      <c r="V29" s="12">
        <f t="shared" si="7"/>
        <v>35000000</v>
      </c>
      <c r="W29" s="12">
        <f t="shared" si="7"/>
        <v>35000000</v>
      </c>
      <c r="X29" s="12">
        <f t="shared" si="7"/>
        <v>35000000</v>
      </c>
      <c r="Y29" s="12">
        <f t="shared" si="7"/>
        <v>35000000</v>
      </c>
      <c r="Z29" s="12">
        <f t="shared" si="7"/>
        <v>35000000</v>
      </c>
      <c r="AA29" s="27">
        <f t="shared" si="3"/>
        <v>840000000</v>
      </c>
    </row>
    <row r="30" spans="2:27" x14ac:dyDescent="0.35">
      <c r="B30" s="17" t="s">
        <v>125</v>
      </c>
      <c r="C30" s="18">
        <f t="shared" ref="C30:Z30" si="8">C27-C28-C29</f>
        <v>-95720000</v>
      </c>
      <c r="D30" s="18">
        <f t="shared" si="8"/>
        <v>-86132000</v>
      </c>
      <c r="E30" s="18">
        <f t="shared" si="8"/>
        <v>-77982200</v>
      </c>
      <c r="F30" s="18">
        <f t="shared" si="8"/>
        <v>-71054870</v>
      </c>
      <c r="G30" s="18">
        <f t="shared" si="8"/>
        <v>-65166639.5</v>
      </c>
      <c r="H30" s="18">
        <f t="shared" si="8"/>
        <v>-60161643.574999996</v>
      </c>
      <c r="I30" s="18">
        <f t="shared" si="8"/>
        <v>-55907397.03875</v>
      </c>
      <c r="J30" s="18">
        <f t="shared" si="8"/>
        <v>-52291287.482937507</v>
      </c>
      <c r="K30" s="18">
        <f t="shared" si="8"/>
        <v>-49217594.360496886</v>
      </c>
      <c r="L30" s="18">
        <f t="shared" si="8"/>
        <v>-46604955.206422351</v>
      </c>
      <c r="M30" s="18">
        <f t="shared" si="8"/>
        <v>-44384211.925458997</v>
      </c>
      <c r="N30" s="18">
        <f t="shared" si="8"/>
        <v>-42496580.136640161</v>
      </c>
      <c r="O30" s="18">
        <f t="shared" si="8"/>
        <v>-40892093.116144136</v>
      </c>
      <c r="P30" s="18">
        <f t="shared" si="8"/>
        <v>-39528279.148722529</v>
      </c>
      <c r="Q30" s="18">
        <f t="shared" si="8"/>
        <v>-38369037.276414141</v>
      </c>
      <c r="R30" s="18">
        <f t="shared" si="8"/>
        <v>-37383681.684952021</v>
      </c>
      <c r="S30" s="18">
        <f t="shared" si="8"/>
        <v>-36546129.432209224</v>
      </c>
      <c r="T30" s="18">
        <f t="shared" si="8"/>
        <v>-35834210.017377853</v>
      </c>
      <c r="U30" s="18">
        <f t="shared" si="8"/>
        <v>-35229078.514771163</v>
      </c>
      <c r="V30" s="18">
        <f t="shared" si="8"/>
        <v>-34714716.737555504</v>
      </c>
      <c r="W30" s="18">
        <f t="shared" si="8"/>
        <v>-34277509.226922184</v>
      </c>
      <c r="X30" s="18">
        <f t="shared" si="8"/>
        <v>-33905882.842883855</v>
      </c>
      <c r="Y30" s="18">
        <f t="shared" si="8"/>
        <v>-33590000.416451275</v>
      </c>
      <c r="Z30" s="18">
        <f t="shared" si="8"/>
        <v>-33321500.353983581</v>
      </c>
      <c r="AA30" s="29">
        <f t="shared" si="3"/>
        <v>-1180711497.9940934</v>
      </c>
    </row>
    <row r="32" spans="2:27" x14ac:dyDescent="0.35">
      <c r="B32" s="11" t="s">
        <v>126</v>
      </c>
      <c r="C32" s="12">
        <f>C30-$C$15</f>
        <v>-395720000</v>
      </c>
      <c r="D32" s="12">
        <f t="shared" ref="D32:Z32" si="9">D30</f>
        <v>-86132000</v>
      </c>
      <c r="E32" s="12">
        <f t="shared" si="9"/>
        <v>-77982200</v>
      </c>
      <c r="F32" s="12">
        <f t="shared" si="9"/>
        <v>-71054870</v>
      </c>
      <c r="G32" s="12">
        <f t="shared" si="9"/>
        <v>-65166639.5</v>
      </c>
      <c r="H32" s="12">
        <f t="shared" si="9"/>
        <v>-60161643.574999996</v>
      </c>
      <c r="I32" s="12">
        <f t="shared" si="9"/>
        <v>-55907397.03875</v>
      </c>
      <c r="J32" s="12">
        <f t="shared" si="9"/>
        <v>-52291287.482937507</v>
      </c>
      <c r="K32" s="12">
        <f t="shared" si="9"/>
        <v>-49217594.360496886</v>
      </c>
      <c r="L32" s="12">
        <f t="shared" si="9"/>
        <v>-46604955.206422351</v>
      </c>
      <c r="M32" s="12">
        <f t="shared" si="9"/>
        <v>-44384211.925458997</v>
      </c>
      <c r="N32" s="12">
        <f t="shared" si="9"/>
        <v>-42496580.136640161</v>
      </c>
      <c r="O32" s="12">
        <f t="shared" si="9"/>
        <v>-40892093.116144136</v>
      </c>
      <c r="P32" s="12">
        <f t="shared" si="9"/>
        <v>-39528279.148722529</v>
      </c>
      <c r="Q32" s="12">
        <f t="shared" si="9"/>
        <v>-38369037.276414141</v>
      </c>
      <c r="R32" s="12">
        <f t="shared" si="9"/>
        <v>-37383681.684952021</v>
      </c>
      <c r="S32" s="12">
        <f t="shared" si="9"/>
        <v>-36546129.432209224</v>
      </c>
      <c r="T32" s="12">
        <f t="shared" si="9"/>
        <v>-35834210.017377853</v>
      </c>
      <c r="U32" s="12">
        <f t="shared" si="9"/>
        <v>-35229078.514771163</v>
      </c>
      <c r="V32" s="12">
        <f t="shared" si="9"/>
        <v>-34714716.737555504</v>
      </c>
      <c r="W32" s="12">
        <f t="shared" si="9"/>
        <v>-34277509.226922184</v>
      </c>
      <c r="X32" s="12">
        <f t="shared" si="9"/>
        <v>-33905882.842883855</v>
      </c>
      <c r="Y32" s="12">
        <f t="shared" si="9"/>
        <v>-33590000.416451275</v>
      </c>
      <c r="Z32" s="12">
        <f t="shared" si="9"/>
        <v>-33321500.353983581</v>
      </c>
      <c r="AA32" s="27">
        <f>SUM(C32:Z32)</f>
        <v>-1480711497.9940934</v>
      </c>
    </row>
    <row r="33" spans="2:26" x14ac:dyDescent="0.35">
      <c r="B33" s="19" t="s">
        <v>127</v>
      </c>
      <c r="C33" s="20">
        <f>$C$16+C32</f>
        <v>804280000</v>
      </c>
      <c r="D33" s="20">
        <f t="shared" ref="D33:Z33" si="10">C33+D32</f>
        <v>718148000</v>
      </c>
      <c r="E33" s="20">
        <f t="shared" si="10"/>
        <v>640165800</v>
      </c>
      <c r="F33" s="20">
        <f t="shared" si="10"/>
        <v>569110930</v>
      </c>
      <c r="G33" s="20">
        <f t="shared" si="10"/>
        <v>503944290.5</v>
      </c>
      <c r="H33" s="20">
        <f t="shared" si="10"/>
        <v>443782646.92500001</v>
      </c>
      <c r="I33" s="20">
        <f t="shared" si="10"/>
        <v>387875249.88625002</v>
      </c>
      <c r="J33" s="20">
        <f t="shared" si="10"/>
        <v>335583962.4033125</v>
      </c>
      <c r="K33" s="20">
        <f t="shared" si="10"/>
        <v>286366368.04281563</v>
      </c>
      <c r="L33" s="20">
        <f t="shared" si="10"/>
        <v>239761412.83639327</v>
      </c>
      <c r="M33" s="20">
        <f t="shared" si="10"/>
        <v>195377200.91093427</v>
      </c>
      <c r="N33" s="20">
        <f t="shared" si="10"/>
        <v>152880620.77429411</v>
      </c>
      <c r="O33" s="20">
        <f t="shared" si="10"/>
        <v>111988527.65814997</v>
      </c>
      <c r="P33" s="20">
        <f t="shared" si="10"/>
        <v>72460248.509427443</v>
      </c>
      <c r="Q33" s="20">
        <f t="shared" si="10"/>
        <v>34091211.233013302</v>
      </c>
      <c r="R33" s="20">
        <f t="shared" si="10"/>
        <v>-3292470.4519387186</v>
      </c>
      <c r="S33" s="20">
        <f t="shared" si="10"/>
        <v>-39838599.884147942</v>
      </c>
      <c r="T33" s="20">
        <f t="shared" si="10"/>
        <v>-75672809.901525795</v>
      </c>
      <c r="U33" s="20">
        <f t="shared" si="10"/>
        <v>-110901888.41629696</v>
      </c>
      <c r="V33" s="20">
        <f t="shared" si="10"/>
        <v>-145616605.15385246</v>
      </c>
      <c r="W33" s="20">
        <f t="shared" si="10"/>
        <v>-179894114.38077465</v>
      </c>
      <c r="X33" s="20">
        <f t="shared" si="10"/>
        <v>-213799997.2236585</v>
      </c>
      <c r="Y33" s="20">
        <f t="shared" si="10"/>
        <v>-247389997.64010978</v>
      </c>
      <c r="Z33" s="20">
        <f t="shared" si="10"/>
        <v>-280711497.99409336</v>
      </c>
    </row>
    <row r="36" spans="2:26" x14ac:dyDescent="0.35">
      <c r="B36" s="51" t="s">
        <v>128</v>
      </c>
      <c r="C36" s="51"/>
      <c r="D36" s="51"/>
      <c r="E36" s="51"/>
      <c r="F36" s="51"/>
      <c r="G36" s="51"/>
      <c r="H36" s="51"/>
      <c r="I36" s="51"/>
      <c r="J36" s="51"/>
    </row>
    <row r="37" spans="2:26" x14ac:dyDescent="0.35">
      <c r="B37" s="15" t="s">
        <v>129</v>
      </c>
      <c r="C37" s="21">
        <f>(NPV($C$17,D32:Z32)+C32)/1000000</f>
        <v>-1331.4724009791953</v>
      </c>
      <c r="D37" s="4" t="str">
        <f>"(target: &gt; 0)"</f>
        <v>(target: &gt; 0)</v>
      </c>
    </row>
    <row r="38" spans="2:26" x14ac:dyDescent="0.35">
      <c r="B38" s="15" t="s">
        <v>130</v>
      </c>
      <c r="C38" s="22">
        <f>IFERROR((1+IRR(C32:Z32))^12-1,0)</f>
        <v>0</v>
      </c>
      <c r="D38" s="4" t="str">
        <f>"(target: &gt; "&amp;TEXT(CHOOSE($C$6,'1. Assumptions'!C35,'1. Assumptions'!D35,'1. Assumptions'!E35),"0.0%")&amp;")"</f>
        <v>(target: &gt; 20.0%)</v>
      </c>
    </row>
    <row r="39" spans="2:26" x14ac:dyDescent="0.35">
      <c r="B39" s="15" t="s">
        <v>131</v>
      </c>
      <c r="C39" s="23" t="str">
        <f>IFERROR(MATCH(TRUE(),INDEX(C41:Z41&gt;=0,0),0),"&gt; 24")</f>
        <v>&gt; 24</v>
      </c>
      <c r="D39" s="4" t="str">
        <f>"(target: &lt; 24)"</f>
        <v>(target: &lt; 24)</v>
      </c>
    </row>
    <row r="40" spans="2:26" x14ac:dyDescent="0.35">
      <c r="B40" s="15" t="s">
        <v>132</v>
      </c>
      <c r="C40" s="23">
        <f>IFERROR(MATCH(TRUE(),INDEX(C33:Z33&lt;0,0),0)-1,"&gt;= 24")</f>
        <v>15</v>
      </c>
      <c r="D40" s="4" t="str">
        <f>"(target: &gt;= 12)"</f>
        <v>(target: &gt;= 12)</v>
      </c>
    </row>
    <row r="41" spans="2:26" x14ac:dyDescent="0.35">
      <c r="B41" s="24" t="s">
        <v>133</v>
      </c>
      <c r="C41" s="25">
        <f>C32</f>
        <v>-395720000</v>
      </c>
      <c r="D41" s="25">
        <f t="shared" ref="D41:Z41" si="11">C41+D32</f>
        <v>-481852000</v>
      </c>
      <c r="E41" s="25">
        <f t="shared" si="11"/>
        <v>-559834200</v>
      </c>
      <c r="F41" s="25">
        <f t="shared" si="11"/>
        <v>-630889070</v>
      </c>
      <c r="G41" s="25">
        <f t="shared" si="11"/>
        <v>-696055709.5</v>
      </c>
      <c r="H41" s="25">
        <f t="shared" si="11"/>
        <v>-756217353.07500005</v>
      </c>
      <c r="I41" s="25">
        <f t="shared" si="11"/>
        <v>-812124750.1137501</v>
      </c>
      <c r="J41" s="25">
        <f t="shared" si="11"/>
        <v>-864416037.59668756</v>
      </c>
      <c r="K41" s="25">
        <f t="shared" si="11"/>
        <v>-913633631.95718443</v>
      </c>
      <c r="L41" s="25">
        <f t="shared" si="11"/>
        <v>-960238587.16360676</v>
      </c>
      <c r="M41" s="25">
        <f t="shared" si="11"/>
        <v>-1004622799.0890658</v>
      </c>
      <c r="N41" s="25">
        <f t="shared" si="11"/>
        <v>-1047119379.225706</v>
      </c>
      <c r="O41" s="25">
        <f t="shared" si="11"/>
        <v>-1088011472.34185</v>
      </c>
      <c r="P41" s="25">
        <f t="shared" si="11"/>
        <v>-1127539751.4905725</v>
      </c>
      <c r="Q41" s="25">
        <f t="shared" si="11"/>
        <v>-1165908788.7669866</v>
      </c>
      <c r="R41" s="25">
        <f t="shared" si="11"/>
        <v>-1203292470.4519386</v>
      </c>
      <c r="S41" s="25">
        <f t="shared" si="11"/>
        <v>-1239838599.8841479</v>
      </c>
      <c r="T41" s="25">
        <f t="shared" si="11"/>
        <v>-1275672809.9015257</v>
      </c>
      <c r="U41" s="25">
        <f t="shared" si="11"/>
        <v>-1310901888.416297</v>
      </c>
      <c r="V41" s="25">
        <f t="shared" si="11"/>
        <v>-1345616605.1538525</v>
      </c>
      <c r="W41" s="25">
        <f t="shared" si="11"/>
        <v>-1379894114.3807747</v>
      </c>
      <c r="X41" s="25">
        <f t="shared" si="11"/>
        <v>-1413799997.2236586</v>
      </c>
      <c r="Y41" s="25">
        <f t="shared" si="11"/>
        <v>-1447389997.6401098</v>
      </c>
      <c r="Z41" s="25">
        <f t="shared" si="11"/>
        <v>-1480711497.9940934</v>
      </c>
    </row>
    <row r="43" spans="2:26" x14ac:dyDescent="0.35">
      <c r="B43" s="51" t="s">
        <v>134</v>
      </c>
      <c r="C43" s="51"/>
      <c r="D43" s="51"/>
      <c r="E43" s="51"/>
      <c r="F43" s="51"/>
      <c r="G43" s="51"/>
      <c r="H43" s="51"/>
      <c r="I43" s="51"/>
      <c r="J43" s="51"/>
    </row>
    <row r="44" spans="2:26" ht="15.5" x14ac:dyDescent="0.35">
      <c r="B44" s="15" t="s">
        <v>135</v>
      </c>
      <c r="C44" s="53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  <c r="D44" s="53"/>
      <c r="E44" s="53"/>
      <c r="F44" s="53"/>
      <c r="G44" s="53"/>
      <c r="H44" s="53"/>
      <c r="I44" s="53"/>
      <c r="J44" s="53"/>
    </row>
  </sheetData>
  <mergeCells count="6">
    <mergeCell ref="C44:J44"/>
    <mergeCell ref="B2:H2"/>
    <mergeCell ref="D4:H4"/>
    <mergeCell ref="B20:AA20"/>
    <mergeCell ref="B36:J36"/>
    <mergeCell ref="B43:J43"/>
  </mergeCells>
  <conditionalFormatting sqref="C37">
    <cfRule type="cellIs" dxfId="5" priority="26" operator="greaterThan">
      <formula>0</formula>
    </cfRule>
    <cfRule type="cellIs" dxfId="4" priority="27" operator="lessThanOrEqual">
      <formula>0</formula>
    </cfRule>
  </conditionalFormatting>
  <conditionalFormatting sqref="C40">
    <cfRule type="expression" dxfId="1" priority="30">
      <formula>AND(ISNUMBER(C40),C40&lt;12)</formula>
    </cfRule>
  </conditionalFormatting>
  <conditionalFormatting sqref="C33:Z33">
    <cfRule type="cellIs" dxfId="0" priority="2" operator="lessThan">
      <formula>0</formula>
    </cfRule>
  </conditionalFormatting>
  <dataValidations count="1">
    <dataValidation type="list" sqref="C4" xr:uid="{00000000-0002-0000-0200-000000000000}">
      <formula1>"Optimistic,Base,Pessimistic"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00000000-000E-0000-0200-00001C000000}">
            <xm:f>C38&gt;CHOOSE($C$6,'1. Assumptions'!C35,'1. Assumptions'!D35,'1. Assumptions'!E35)</xm:f>
            <x14:dxf>
              <font>
                <b/>
                <sz val="11"/>
                <color rgb="FF16A34A"/>
                <name val="Arial"/>
                <charset val="1"/>
                <scheme val="none"/>
              </font>
              <fill>
                <patternFill patternType="solid">
                  <bgColor rgb="FFDCFCE7"/>
                </patternFill>
              </fill>
            </x14:dxf>
          </x14:cfRule>
          <x14:cfRule type="expression" priority="29" id="{00000000-000E-0000-0200-00001D000000}">
            <xm:f>C38&lt;=CHOOSE($C$6,'1. Assumptions'!C35,'1. Assumptions'!D35,'1. Assumptions'!E35)</xm:f>
            <x14:dxf>
              <font>
                <b/>
                <sz val="11"/>
                <color rgb="FFDC2626"/>
                <name val="Arial"/>
                <charset val="1"/>
                <scheme val="none"/>
              </font>
              <fill>
                <patternFill patternType="solid">
                  <bgColor rgb="FFFEE2E2"/>
                </patternFill>
              </fill>
            </x14:dxf>
          </x14:cfRule>
          <xm:sqref>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BA HUY (S.AI.20K)</cp:lastModifiedBy>
  <cp:revision>0</cp:revision>
  <dcterms:created xsi:type="dcterms:W3CDTF">2026-05-03T22:07:00Z</dcterms:created>
  <dcterms:modified xsi:type="dcterms:W3CDTF">2026-08-26T05:07:27Z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